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Pc\Downloads\SIMPLI LEARN MASTER CLASS BA\Capstone Course-end Project 1 2 3\Retail Industry ABC Amazon Pantry Capstone dataset\"/>
    </mc:Choice>
  </mc:AlternateContent>
  <xr:revisionPtr revIDLastSave="0" documentId="13_ncr:1_{E5053583-E64E-4159-8E75-477FA364A18D}" xr6:coauthVersionLast="47" xr6:coauthVersionMax="47" xr10:uidLastSave="{00000000-0000-0000-0000-000000000000}"/>
  <bookViews>
    <workbookView xWindow="-120" yWindow="-120" windowWidth="20730" windowHeight="11160" xr2:uid="{541D34FA-4A73-4578-BB0B-3CE27AC2A52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C3" i="2"/>
  <c r="C12" i="2"/>
  <c r="C13" i="2"/>
  <c r="C14" i="2"/>
  <c r="C15" i="2"/>
  <c r="C16" i="2"/>
  <c r="C17" i="2"/>
  <c r="C18" i="2"/>
  <c r="C19" i="2"/>
  <c r="C20" i="2"/>
  <c r="C21" i="2"/>
  <c r="C22" i="2"/>
  <c r="C11" i="2"/>
  <c r="B12" i="2"/>
  <c r="B13" i="2"/>
  <c r="B14" i="2"/>
  <c r="B15" i="2"/>
  <c r="B16" i="2"/>
  <c r="B17" i="2"/>
  <c r="B18" i="2"/>
  <c r="B19" i="2"/>
  <c r="B20" i="2"/>
  <c r="B21" i="2"/>
  <c r="B22" i="2"/>
  <c r="B11" i="2"/>
  <c r="C8" i="2"/>
  <c r="C7" i="2"/>
  <c r="C6" i="2"/>
  <c r="C5" i="2"/>
  <c r="C4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<sst xmlns="http://schemas.openxmlformats.org/spreadsheetml/2006/main" count="56" uniqueCount="37">
  <si>
    <t>Product Categories</t>
  </si>
  <si>
    <t>Product Code</t>
  </si>
  <si>
    <t>January</t>
  </si>
  <si>
    <t>February</t>
  </si>
  <si>
    <t>March</t>
  </si>
  <si>
    <t>April</t>
  </si>
  <si>
    <t>May</t>
  </si>
  <si>
    <t>June</t>
  </si>
  <si>
    <t>Flour and rice</t>
  </si>
  <si>
    <t>FR</t>
  </si>
  <si>
    <t>Sugar, salt, and spices</t>
  </si>
  <si>
    <t>SSS</t>
  </si>
  <si>
    <t>Pulses</t>
  </si>
  <si>
    <t>PS</t>
  </si>
  <si>
    <t>Personal care</t>
  </si>
  <si>
    <t>PC</t>
  </si>
  <si>
    <t>Snacks</t>
  </si>
  <si>
    <t>SN</t>
  </si>
  <si>
    <t>Hand wash and sanitizers</t>
  </si>
  <si>
    <t>HS</t>
  </si>
  <si>
    <t>Household cleaning essentials</t>
  </si>
  <si>
    <t>HHC</t>
  </si>
  <si>
    <t>Breakfast food items</t>
  </si>
  <si>
    <t>BFI</t>
  </si>
  <si>
    <t>Tea and coffee</t>
  </si>
  <si>
    <t>TAC</t>
  </si>
  <si>
    <t>Baby care</t>
  </si>
  <si>
    <t>BC</t>
  </si>
  <si>
    <t>Female hygiene</t>
  </si>
  <si>
    <t>FH</t>
  </si>
  <si>
    <t>Tissues and fresheners</t>
  </si>
  <si>
    <t>TAF</t>
  </si>
  <si>
    <t>Average Sales Month wise</t>
  </si>
  <si>
    <t>Total Sales Month wise</t>
  </si>
  <si>
    <t xml:space="preserve">Total Sales for 6 Months </t>
  </si>
  <si>
    <t xml:space="preserve">Average Sales  for 6 Months 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</si>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</sst>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vertical="center"/>
    </xf>
    <xf numFmtId="44" fontId="1" fillId="0" borderId="1" xfId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64" fontId="4" fillId="0" borderId="0" xfId="1" applyNumberFormat="1" applyFont="1" applyAlignment="1">
      <alignment horizontal="right" vertical="center"/>
    </xf>
    <xf numFmtId="164" fontId="2" fillId="0" borderId="11" xfId="1" applyNumberFormat="1" applyFont="1" applyFill="1" applyBorder="1" applyAlignment="1">
      <alignment horizontal="right" vertical="center"/>
    </xf>
    <xf numFmtId="164" fontId="2" fillId="0" borderId="3" xfId="1" applyNumberFormat="1" applyFont="1" applyFill="1" applyBorder="1" applyAlignment="1">
      <alignment horizontal="right" vertical="center"/>
    </xf>
    <xf numFmtId="164" fontId="4" fillId="0" borderId="1" xfId="1" applyNumberFormat="1" applyFont="1" applyBorder="1" applyAlignment="1">
      <alignment horizontal="right" vertical="center"/>
    </xf>
    <xf numFmtId="164" fontId="4" fillId="0" borderId="8" xfId="1" applyNumberFormat="1" applyFont="1" applyBorder="1" applyAlignment="1">
      <alignment horizontal="right" vertical="center"/>
    </xf>
    <xf numFmtId="164" fontId="4" fillId="0" borderId="9" xfId="1" applyNumberFormat="1" applyFont="1" applyBorder="1" applyAlignment="1">
      <alignment horizontal="right" vertical="center"/>
    </xf>
    <xf numFmtId="164" fontId="4" fillId="0" borderId="10" xfId="1" applyNumberFormat="1" applyFont="1" applyBorder="1" applyAlignment="1">
      <alignment horizontal="right" vertical="center"/>
    </xf>
    <xf numFmtId="164" fontId="2" fillId="0" borderId="5" xfId="1" applyNumberFormat="1" applyFont="1" applyFill="1" applyBorder="1" applyAlignment="1">
      <alignment horizontal="right" vertical="center"/>
    </xf>
    <xf numFmtId="164" fontId="2" fillId="0" borderId="6" xfId="1" applyNumberFormat="1" applyFont="1" applyFill="1" applyBorder="1" applyAlignment="1">
      <alignment horizontal="righ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52AC8-045C-4A67-9589-87791A210828}">
  <dimension ref="A1:H13"/>
  <sheetViews>
    <sheetView tabSelected="1" workbookViewId="0">
      <selection activeCell="B18" sqref="B18"/>
    </sheetView>
  </sheetViews>
  <sheetFormatPr defaultRowHeight="15" x14ac:dyDescent="0.25"/>
  <cols>
    <col min="1" max="1" width="26.85546875" bestFit="1" customWidth="1"/>
    <col min="2" max="2" width="14" bestFit="1" customWidth="1"/>
    <col min="3" max="8" width="12.7109375" bestFit="1" customWidth="1"/>
  </cols>
  <sheetData>
    <row r="1" spans="1:8" ht="15.75" x14ac:dyDescent="0.25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5.75" x14ac:dyDescent="0.25">
      <c r="A2" s="6" t="s">
        <v>8</v>
      </c>
      <c r="B2" s="1" t="s">
        <v>9</v>
      </c>
      <c r="C2" s="2">
        <v>18225</v>
      </c>
      <c r="D2" s="2">
        <v>15184</v>
      </c>
      <c r="E2" s="2">
        <v>98984</v>
      </c>
      <c r="F2" s="2">
        <v>1500</v>
      </c>
      <c r="G2" s="2">
        <v>71111</v>
      </c>
      <c r="H2" s="2">
        <v>7889</v>
      </c>
    </row>
    <row r="3" spans="1:8" ht="15.75" x14ac:dyDescent="0.25">
      <c r="A3" s="6" t="s">
        <v>10</v>
      </c>
      <c r="B3" s="1" t="s">
        <v>11</v>
      </c>
      <c r="C3" s="2">
        <v>15184</v>
      </c>
      <c r="D3" s="2">
        <v>15845</v>
      </c>
      <c r="E3" s="2">
        <v>41545</v>
      </c>
      <c r="F3" s="2">
        <v>1622</v>
      </c>
      <c r="G3" s="2">
        <v>15151</v>
      </c>
      <c r="H3" s="2">
        <v>15184</v>
      </c>
    </row>
    <row r="4" spans="1:8" ht="15.75" x14ac:dyDescent="0.25">
      <c r="A4" s="6" t="s">
        <v>12</v>
      </c>
      <c r="B4" s="1" t="s">
        <v>13</v>
      </c>
      <c r="C4" s="2">
        <v>15845</v>
      </c>
      <c r="D4" s="2">
        <v>11112</v>
      </c>
      <c r="E4" s="2">
        <v>15184</v>
      </c>
      <c r="F4" s="2">
        <v>15184</v>
      </c>
      <c r="G4" s="2">
        <v>78787</v>
      </c>
      <c r="H4" s="2">
        <v>15845</v>
      </c>
    </row>
    <row r="5" spans="1:8" ht="15.75" x14ac:dyDescent="0.25">
      <c r="A5" s="6" t="s">
        <v>14</v>
      </c>
      <c r="B5" s="1" t="s">
        <v>15</v>
      </c>
      <c r="C5" s="2">
        <v>11112</v>
      </c>
      <c r="D5" s="2">
        <v>15455</v>
      </c>
      <c r="E5" s="2">
        <v>15845</v>
      </c>
      <c r="F5" s="2">
        <v>15845</v>
      </c>
      <c r="G5" s="2">
        <v>10000</v>
      </c>
      <c r="H5" s="2">
        <v>11112</v>
      </c>
    </row>
    <row r="6" spans="1:8" ht="15.75" x14ac:dyDescent="0.25">
      <c r="A6" s="6" t="s">
        <v>16</v>
      </c>
      <c r="B6" s="1" t="s">
        <v>17</v>
      </c>
      <c r="C6" s="2">
        <v>15455</v>
      </c>
      <c r="D6" s="2">
        <v>15454</v>
      </c>
      <c r="E6" s="2">
        <v>11112</v>
      </c>
      <c r="F6" s="2">
        <v>11112</v>
      </c>
      <c r="G6" s="2">
        <v>20000</v>
      </c>
      <c r="H6" s="2">
        <v>10000</v>
      </c>
    </row>
    <row r="7" spans="1:8" ht="15.75" x14ac:dyDescent="0.25">
      <c r="A7" s="6" t="s">
        <v>18</v>
      </c>
      <c r="B7" s="1" t="s">
        <v>19</v>
      </c>
      <c r="C7" s="2">
        <v>15454</v>
      </c>
      <c r="D7" s="2">
        <v>18498</v>
      </c>
      <c r="E7" s="2">
        <v>15455</v>
      </c>
      <c r="F7" s="2">
        <v>15184</v>
      </c>
      <c r="G7" s="2">
        <v>18498</v>
      </c>
      <c r="H7" s="2">
        <v>20000</v>
      </c>
    </row>
    <row r="8" spans="1:8" ht="15.75" x14ac:dyDescent="0.25">
      <c r="A8" s="6" t="s">
        <v>20</v>
      </c>
      <c r="B8" s="1" t="s">
        <v>21</v>
      </c>
      <c r="C8" s="2">
        <v>78888</v>
      </c>
      <c r="D8" s="2">
        <v>48211</v>
      </c>
      <c r="E8" s="2">
        <v>15454</v>
      </c>
      <c r="F8" s="2">
        <v>15845</v>
      </c>
      <c r="G8" s="2">
        <v>48211</v>
      </c>
      <c r="H8" s="2">
        <v>15000</v>
      </c>
    </row>
    <row r="9" spans="1:8" ht="15.75" x14ac:dyDescent="0.25">
      <c r="A9" s="6" t="s">
        <v>22</v>
      </c>
      <c r="B9" s="1" t="s">
        <v>23</v>
      </c>
      <c r="C9" s="2">
        <v>48211</v>
      </c>
      <c r="D9" s="2">
        <v>16595</v>
      </c>
      <c r="E9" s="2">
        <v>18498</v>
      </c>
      <c r="F9" s="2">
        <v>11112</v>
      </c>
      <c r="G9" s="2">
        <v>16595</v>
      </c>
      <c r="H9" s="2">
        <v>15151</v>
      </c>
    </row>
    <row r="10" spans="1:8" ht="15.75" x14ac:dyDescent="0.25">
      <c r="A10" s="6" t="s">
        <v>24</v>
      </c>
      <c r="B10" s="1" t="s">
        <v>25</v>
      </c>
      <c r="C10" s="2">
        <v>16595</v>
      </c>
      <c r="D10" s="2">
        <v>15487</v>
      </c>
      <c r="E10" s="2">
        <v>48211</v>
      </c>
      <c r="F10" s="2">
        <v>78787</v>
      </c>
      <c r="G10" s="2">
        <v>45484</v>
      </c>
      <c r="H10" s="2">
        <v>44544</v>
      </c>
    </row>
    <row r="11" spans="1:8" ht="15.75" x14ac:dyDescent="0.25">
      <c r="A11" s="6" t="s">
        <v>26</v>
      </c>
      <c r="B11" s="1" t="s">
        <v>27</v>
      </c>
      <c r="C11" s="2">
        <v>15487</v>
      </c>
      <c r="D11" s="2">
        <v>56451</v>
      </c>
      <c r="E11" s="2">
        <v>16595</v>
      </c>
      <c r="F11" s="2">
        <v>15487</v>
      </c>
      <c r="G11" s="2">
        <v>15184</v>
      </c>
      <c r="H11" s="2">
        <v>1515</v>
      </c>
    </row>
    <row r="12" spans="1:8" ht="15.75" x14ac:dyDescent="0.25">
      <c r="A12" s="6" t="s">
        <v>28</v>
      </c>
      <c r="B12" s="1" t="s">
        <v>29</v>
      </c>
      <c r="C12" s="2">
        <v>56451</v>
      </c>
      <c r="D12" s="2">
        <v>78451</v>
      </c>
      <c r="E12" s="2">
        <v>15487</v>
      </c>
      <c r="F12" s="2">
        <v>87844</v>
      </c>
      <c r="G12" s="2">
        <v>15845</v>
      </c>
      <c r="H12" s="2">
        <v>5655</v>
      </c>
    </row>
    <row r="13" spans="1:8" ht="15.75" x14ac:dyDescent="0.25">
      <c r="A13" s="6" t="s">
        <v>30</v>
      </c>
      <c r="B13" s="1" t="s">
        <v>31</v>
      </c>
      <c r="C13" s="2">
        <v>12121</v>
      </c>
      <c r="D13" s="2">
        <v>14414</v>
      </c>
      <c r="E13" s="2">
        <v>56451</v>
      </c>
      <c r="F13" s="2">
        <v>89894</v>
      </c>
      <c r="G13" s="2">
        <v>11112</v>
      </c>
      <c r="H13" s="2">
        <v>8985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A622B-55DF-46E6-86FA-A983EF7B09BF}">
  <dimension ref="A1:C22"/>
  <sheetViews>
    <sheetView workbookViewId="0">
      <selection activeCell="B6" sqref="B6"/>
    </sheetView>
  </sheetViews>
  <sheetFormatPr defaultRowHeight="15" x14ac:dyDescent="0.25"/>
  <cols>
    <col min="1" max="1" width="26.85546875" style="8" bestFit="1" customWidth="1"/>
    <col min="2" max="2" width="25.85546875" style="14" bestFit="1" customWidth="1"/>
    <col min="3" max="3" width="29.7109375" style="14" bestFit="1" customWidth="1"/>
    <col min="4" max="16384" width="9.140625" style="7"/>
  </cols>
  <sheetData>
    <row r="1" spans="1:3" ht="15.75" thickBot="1" x14ac:dyDescent="0.3"/>
    <row r="2" spans="1:3" ht="15.75" customHeight="1" thickBot="1" x14ac:dyDescent="0.3">
      <c r="A2" s="9" t="s">
        <v>36</v>
      </c>
      <c r="B2" s="15" t="s">
        <v>33</v>
      </c>
      <c r="C2" s="16" t="s">
        <v>32</v>
      </c>
    </row>
    <row r="3" spans="1:3" ht="16.5" thickBot="1" x14ac:dyDescent="0.3">
      <c r="A3" s="10" t="s">
        <v>2</v>
      </c>
      <c r="B3" s="17">
        <f>SUM(Sheet1!C$2:C$13)</f>
        <v>319028</v>
      </c>
      <c r="C3" s="18">
        <f>AVERAGE(Sheet1!C$2:C$13)</f>
        <v>26585.666666666668</v>
      </c>
    </row>
    <row r="4" spans="1:3" ht="16.5" thickBot="1" x14ac:dyDescent="0.3">
      <c r="A4" s="10" t="s">
        <v>3</v>
      </c>
      <c r="B4" s="17">
        <f>SUM(Sheet1!D$2:D$13)</f>
        <v>321157</v>
      </c>
      <c r="C4" s="18">
        <f>AVERAGE(Sheet1!D$2:D$13)</f>
        <v>26763.083333333332</v>
      </c>
    </row>
    <row r="5" spans="1:3" ht="16.5" thickBot="1" x14ac:dyDescent="0.3">
      <c r="A5" s="10" t="s">
        <v>4</v>
      </c>
      <c r="B5" s="17">
        <f>SUM(Sheet1!E$2:E$13)</f>
        <v>368821</v>
      </c>
      <c r="C5" s="18">
        <f>AVERAGE(Sheet1!E2:E13)</f>
        <v>30735.083333333332</v>
      </c>
    </row>
    <row r="6" spans="1:3" ht="16.5" thickBot="1" x14ac:dyDescent="0.3">
      <c r="A6" s="10" t="s">
        <v>5</v>
      </c>
      <c r="B6" s="17">
        <f>SUM(Sheet1!F$2:F$13)</f>
        <v>359416</v>
      </c>
      <c r="C6" s="18">
        <f>AVERAGE(Sheet1!F2:F12)</f>
        <v>24502</v>
      </c>
    </row>
    <row r="7" spans="1:3" ht="16.5" thickBot="1" x14ac:dyDescent="0.3">
      <c r="A7" s="10" t="s">
        <v>6</v>
      </c>
      <c r="B7" s="17">
        <f>SUM(Sheet1!G$2:G$13)</f>
        <v>365978</v>
      </c>
      <c r="C7" s="18">
        <f>AVERAGE(Sheet1!G2:G12)</f>
        <v>32260.545454545456</v>
      </c>
    </row>
    <row r="8" spans="1:3" ht="16.5" thickBot="1" x14ac:dyDescent="0.3">
      <c r="A8" s="11" t="s">
        <v>7</v>
      </c>
      <c r="B8" s="19">
        <f>SUM(Sheet1!H$2:H$13)</f>
        <v>170880</v>
      </c>
      <c r="C8" s="20">
        <f>AVERAGE(Sheet1!H2:H12)</f>
        <v>14717.727272727272</v>
      </c>
    </row>
    <row r="9" spans="1:3" ht="15.75" thickBot="1" x14ac:dyDescent="0.3"/>
    <row r="10" spans="1:3" ht="15.75" x14ac:dyDescent="0.25">
      <c r="A10" s="12" t="s">
        <v>0</v>
      </c>
      <c r="B10" s="21" t="s">
        <v>34</v>
      </c>
      <c r="C10" s="22" t="s">
        <v>35</v>
      </c>
    </row>
    <row r="11" spans="1:3" ht="15.75" x14ac:dyDescent="0.25">
      <c r="A11" s="13" t="s">
        <v>8</v>
      </c>
      <c r="B11" s="17">
        <f>SUM(Sheet1!C2:H2)</f>
        <v>212893</v>
      </c>
      <c r="C11" s="18">
        <f>AVERAGE(Sheet1!C2:H2)</f>
        <v>35482.166666666664</v>
      </c>
    </row>
    <row r="12" spans="1:3" ht="15.75" x14ac:dyDescent="0.25">
      <c r="A12" s="13" t="s">
        <v>10</v>
      </c>
      <c r="B12" s="17">
        <f>SUM(Sheet1!C3:H3)</f>
        <v>104531</v>
      </c>
      <c r="C12" s="18">
        <f>AVERAGE(Sheet1!C3:H3)</f>
        <v>17421.833333333332</v>
      </c>
    </row>
    <row r="13" spans="1:3" ht="15.75" x14ac:dyDescent="0.25">
      <c r="A13" s="13" t="s">
        <v>12</v>
      </c>
      <c r="B13" s="17">
        <f>SUM(Sheet1!C4:H4)</f>
        <v>151957</v>
      </c>
      <c r="C13" s="18">
        <f>AVERAGE(Sheet1!C4:H4)</f>
        <v>25326.166666666668</v>
      </c>
    </row>
    <row r="14" spans="1:3" ht="15.75" x14ac:dyDescent="0.25">
      <c r="A14" s="13" t="s">
        <v>14</v>
      </c>
      <c r="B14" s="17">
        <f>SUM(Sheet1!C5:H5)</f>
        <v>79369</v>
      </c>
      <c r="C14" s="18">
        <f>AVERAGE(Sheet1!C5:H5)</f>
        <v>13228.166666666666</v>
      </c>
    </row>
    <row r="15" spans="1:3" ht="15.75" x14ac:dyDescent="0.25">
      <c r="A15" s="13" t="s">
        <v>16</v>
      </c>
      <c r="B15" s="17">
        <f>SUM(Sheet1!C6:H6)</f>
        <v>83133</v>
      </c>
      <c r="C15" s="18">
        <f>AVERAGE(Sheet1!C6:H6)</f>
        <v>13855.5</v>
      </c>
    </row>
    <row r="16" spans="1:3" ht="15.75" x14ac:dyDescent="0.25">
      <c r="A16" s="13" t="s">
        <v>18</v>
      </c>
      <c r="B16" s="17">
        <f>SUM(Sheet1!C7:H7)</f>
        <v>103089</v>
      </c>
      <c r="C16" s="18">
        <f>AVERAGE(Sheet1!C7:H7)</f>
        <v>17181.5</v>
      </c>
    </row>
    <row r="17" spans="1:3" ht="15.75" x14ac:dyDescent="0.25">
      <c r="A17" s="13" t="s">
        <v>20</v>
      </c>
      <c r="B17" s="17">
        <f>SUM(Sheet1!C8:H8)</f>
        <v>221609</v>
      </c>
      <c r="C17" s="18">
        <f>AVERAGE(Sheet1!C8:H8)</f>
        <v>36934.833333333336</v>
      </c>
    </row>
    <row r="18" spans="1:3" ht="15.75" x14ac:dyDescent="0.25">
      <c r="A18" s="13" t="s">
        <v>22</v>
      </c>
      <c r="B18" s="17">
        <f>SUM(Sheet1!C9:H9)</f>
        <v>126162</v>
      </c>
      <c r="C18" s="18">
        <f>AVERAGE(Sheet1!C9:H9)</f>
        <v>21027</v>
      </c>
    </row>
    <row r="19" spans="1:3" ht="15.75" x14ac:dyDescent="0.25">
      <c r="A19" s="13" t="s">
        <v>24</v>
      </c>
      <c r="B19" s="17">
        <f>SUM(Sheet1!C10:H10)</f>
        <v>249108</v>
      </c>
      <c r="C19" s="18">
        <f>AVERAGE(Sheet1!C10:H10)</f>
        <v>41518</v>
      </c>
    </row>
    <row r="20" spans="1:3" ht="15.75" x14ac:dyDescent="0.25">
      <c r="A20" s="13" t="s">
        <v>26</v>
      </c>
      <c r="B20" s="17">
        <f>SUM(Sheet1!C11:H11)</f>
        <v>120719</v>
      </c>
      <c r="C20" s="18">
        <f>AVERAGE(Sheet1!C11:H11)</f>
        <v>20119.833333333332</v>
      </c>
    </row>
    <row r="21" spans="1:3" ht="15.75" x14ac:dyDescent="0.25">
      <c r="A21" s="13" t="s">
        <v>28</v>
      </c>
      <c r="B21" s="17">
        <f>SUM(Sheet1!C12:H12)</f>
        <v>259733</v>
      </c>
      <c r="C21" s="18">
        <f>AVERAGE(Sheet1!C12:H12)</f>
        <v>43288.833333333336</v>
      </c>
    </row>
    <row r="22" spans="1:3" ht="15.75" x14ac:dyDescent="0.25">
      <c r="A22" s="13" t="s">
        <v>30</v>
      </c>
      <c r="B22" s="17">
        <f>SUM(Sheet1!C13:H13)</f>
        <v>192977</v>
      </c>
      <c r="C22" s="18">
        <f>AVERAGE(Sheet1!C13:H13)</f>
        <v>32162.833333333332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Sattik Mohanta</dc:creator>
  <cp:lastModifiedBy>Sattik Mohanta</cp:lastModifiedBy>
  <cp:lastPrinted>2025-05-12T20:10:48Z</cp:lastPrinted>
  <dcterms:created xsi:type="dcterms:W3CDTF">2025-05-12T20:08:58Z</dcterms:created>
  <dcterms:modified xsi:type="dcterms:W3CDTF">2025-05-12T20:51:03Z</dcterms:modified>
</cp:coreProperties>
</file>